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Calculations" sheetId="1" r:id="rId1" state="visible"/>
  </sheets>
  <definedNames/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tyles.xml><?xml version="1.0" encoding="utf-8"?>
<styleSheet xmlns="http://schemas.openxmlformats.org/spreadsheetml/2006/main">
  <numFmts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xfId="0"/>
  </cellStyleXfs>
  <cellXfs count="1">
    <xf xfId="0"/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D16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sheetData>
    <row xmlns:ac="http://schemas.microsoft.com/office/spreadsheetml/2009/9/ac" r="1" spans="1:4" ac:dyDescent="0.2">
      <c r="A1" t="inlineStr">
        <is>
          <t>Item</t>
        </is>
      </c>
      <c r="B1" t="inlineStr">
        <is>
          <t>Quantity</t>
        </is>
      </c>
      <c r="C1" t="inlineStr">
        <is>
          <t>Unit Cost</t>
        </is>
      </c>
      <c r="D1" t="inlineStr">
        <is>
          <t>Total</t>
        </is>
      </c>
    </row>
    <row xmlns:ac="http://schemas.microsoft.com/office/spreadsheetml/2009/9/ac" r="2" spans="1:4" ac:dyDescent="0.2">
      <c r="A2" t="inlineStr">
        <is>
          <t>Galvanic batteries</t>
        </is>
      </c>
      <c r="B2" t="n">
        <v>3</v>
      </c>
      <c r="C2" t="n">
        <v>50</v>
      </c>
      <c r="D2">
        <f>B2*C2</f>
      </c>
    </row>
    <row xmlns:ac="http://schemas.microsoft.com/office/spreadsheetml/2009/9/ac" r="3" spans="1:4" ac:dyDescent="0.2">
      <c r="A3" t="inlineStr">
        <is>
          <t>Chemical reagents</t>
        </is>
      </c>
      <c r="B3" t="n">
        <v>12</v>
      </c>
      <c r="C3" t="n">
        <v>15</v>
      </c>
      <c r="D3">
        <f>B3*C3</f>
      </c>
    </row>
    <row xmlns:ac="http://schemas.microsoft.com/office/spreadsheetml/2009/9/ac" r="4" spans="1:4" ac:dyDescent="0.2">
      <c r="A4" t="inlineStr">
        <is>
          <t>Copper wire (meters)</t>
        </is>
      </c>
      <c r="B4" t="n">
        <v>100</v>
      </c>
      <c r="C4" t="n">
        <v>2</v>
      </c>
      <c r="D4">
        <f>B4*C4</f>
      </c>
    </row>
    <row xmlns:ac="http://schemas.microsoft.com/office/spreadsheetml/2009/9/ac" r="5" spans="1:4" ac:dyDescent="0.2">
      <c r="A5" t="inlineStr">
        <is>
          <t>Glass containers</t>
        </is>
      </c>
      <c r="B5" t="n">
        <v>25</v>
      </c>
      <c r="C5" t="n">
        <v>8</v>
      </c>
      <c r="D5">
        <f>B5*C5</f>
      </c>
    </row>
    <row xmlns:ac="http://schemas.microsoft.com/office/spreadsheetml/2009/9/ac" r="6" spans="1:4" ac:dyDescent="0.2">
      <c r="A6" t="inlineStr">
        <is>
          <t>Reference books</t>
        </is>
      </c>
      <c r="B6" t="n">
        <v>7</v>
      </c>
      <c r="C6" t="n">
        <v>35</v>
      </c>
      <c r="D6">
        <f>B6*C6</f>
      </c>
    </row>
    <row xmlns:ac="http://schemas.microsoft.com/office/spreadsheetml/2009/9/ac" r="8" spans="1:4" ac:dyDescent="0.2">
      <c r="A8" t="inlineStr">
        <is>
          <t>Subtotal:</t>
        </is>
      </c>
      <c r="D8">
        <f>SUM(D2:D6)</f>
      </c>
    </row>
    <row xmlns:ac="http://schemas.microsoft.com/office/spreadsheetml/2009/9/ac" r="9" spans="1:4" ac:dyDescent="0.2">
      <c r="A9" t="inlineStr">
        <is>
          <t>Tax (10%):</t>
        </is>
      </c>
      <c r="D9">
        <f>D8*0.1</f>
      </c>
    </row>
    <row xmlns:ac="http://schemas.microsoft.com/office/spreadsheetml/2009/9/ac" r="10" spans="1:4" ac:dyDescent="0.2">
      <c r="A10" t="inlineStr">
        <is>
          <t>Grand Total:</t>
        </is>
      </c>
      <c r="D10">
        <f>D8+D9</f>
      </c>
    </row>
    <row xmlns:ac="http://schemas.microsoft.com/office/spreadsheetml/2009/9/ac" r="12" spans="1:4" ac:dyDescent="0.2">
      <c r="A12" t="inlineStr">
        <is>
          <t>Average Cost:</t>
        </is>
      </c>
      <c r="D12">
        <f>AVERAGE(D2:D6)</f>
      </c>
    </row>
    <row xmlns:ac="http://schemas.microsoft.com/office/spreadsheetml/2009/9/ac" r="13" spans="1:4" ac:dyDescent="0.2">
      <c r="A13" t="inlineStr">
        <is>
          <t>Max Item:</t>
        </is>
      </c>
      <c r="D13">
        <f>MAX(D2:D6)</f>
      </c>
    </row>
    <row xmlns:ac="http://schemas.microsoft.com/office/spreadsheetml/2009/9/ac" r="14" spans="1:4" ac:dyDescent="0.2">
      <c r="A14" t="inlineStr">
        <is>
          <t>Item Count:</t>
        </is>
      </c>
      <c r="D14">
        <f>COUNTA(A2:A6)</f>
      </c>
    </row>
    <row xmlns:ac="http://schemas.microsoft.com/office/spreadsheetml/2009/9/ac" r="16" spans="1:4" ac:dyDescent="0.2">
      <c r="A16" t="inlineStr">
        <is>
          <t>Lookup 'Chemical reagents':</t>
        </is>
      </c>
      <c r="D16">
        <f>VLOOKUP("Chemical reagents",A2:D6,4,FALSE)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